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filterPrivacy="1" defaultThemeVersion="124226"/>
  <xr:revisionPtr revIDLastSave="0" documentId="13_ncr:1_{ED4B97F8-1240-40D0-868E-5A4B32002AF2}" xr6:coauthVersionLast="31" xr6:coauthVersionMax="31" xr10:uidLastSave="{00000000-0000-0000-0000-000000000000}"/>
  <bookViews>
    <workbookView xWindow="0" yWindow="90" windowWidth="19200" windowHeight="11640" xr2:uid="{00000000-000D-0000-FFFF-FFFF00000000}"/>
  </bookViews>
  <sheets>
    <sheet name="支出合同" sheetId="2" r:id="rId1"/>
  </sheets>
  <calcPr calcId="179017"/>
</workbook>
</file>

<file path=xl/calcChain.xml><?xml version="1.0" encoding="utf-8"?>
<calcChain xmlns="http://schemas.openxmlformats.org/spreadsheetml/2006/main">
  <c r="AD2" i="2" l="1"/>
  <c r="AB2" i="2"/>
  <c r="Z2" i="2"/>
  <c r="Y2" i="2"/>
  <c r="W2" i="2" s="1"/>
  <c r="X2" i="2"/>
  <c r="BL2" i="2"/>
  <c r="BN2" i="2" s="1"/>
</calcChain>
</file>

<file path=xl/sharedStrings.xml><?xml version="1.0" encoding="utf-8"?>
<sst xmlns="http://schemas.openxmlformats.org/spreadsheetml/2006/main" count="105" uniqueCount="105">
  <si>
    <t>现行有效合同编号</t>
    <phoneticPr fontId="1" type="noConversion"/>
  </si>
  <si>
    <t>原合同编号</t>
    <phoneticPr fontId="1" type="noConversion"/>
  </si>
  <si>
    <t>合同名称</t>
    <phoneticPr fontId="1" type="noConversion"/>
  </si>
  <si>
    <t>合同性质</t>
    <phoneticPr fontId="1" type="noConversion"/>
  </si>
  <si>
    <t>发起人</t>
    <phoneticPr fontId="1" type="noConversion"/>
  </si>
  <si>
    <t>发起部门</t>
    <phoneticPr fontId="1" type="noConversion"/>
  </si>
  <si>
    <t>经办人</t>
    <phoneticPr fontId="1" type="noConversion"/>
  </si>
  <si>
    <t>审批人</t>
    <phoneticPr fontId="1" type="noConversion"/>
  </si>
  <si>
    <t>项目</t>
    <phoneticPr fontId="1" type="noConversion"/>
  </si>
  <si>
    <t>子系统名称</t>
    <phoneticPr fontId="1" type="noConversion"/>
  </si>
  <si>
    <t>产品说明</t>
    <phoneticPr fontId="1" type="noConversion"/>
  </si>
  <si>
    <t>交付物及数量</t>
    <phoneticPr fontId="1" type="noConversion"/>
  </si>
  <si>
    <t>交付地点</t>
    <phoneticPr fontId="1" type="noConversion"/>
  </si>
  <si>
    <t>项目阶段</t>
    <phoneticPr fontId="1" type="noConversion"/>
  </si>
  <si>
    <t>合同状态阶段</t>
    <phoneticPr fontId="1" type="noConversion"/>
  </si>
  <si>
    <t>合同执行情况</t>
    <phoneticPr fontId="1" type="noConversion"/>
  </si>
  <si>
    <t>签订日期</t>
    <phoneticPr fontId="1" type="noConversion"/>
  </si>
  <si>
    <t>交付日期</t>
    <phoneticPr fontId="1" type="noConversion"/>
  </si>
  <si>
    <t>有效期</t>
    <phoneticPr fontId="1" type="noConversion"/>
  </si>
  <si>
    <t>币种</t>
    <phoneticPr fontId="1" type="noConversion"/>
  </si>
  <si>
    <t>金额单位</t>
    <phoneticPr fontId="1" type="noConversion"/>
  </si>
  <si>
    <t>合同总金额</t>
    <phoneticPr fontId="1" type="noConversion"/>
  </si>
  <si>
    <t>协作单位名称</t>
    <phoneticPr fontId="1" type="noConversion"/>
  </si>
  <si>
    <t>协作单位地址</t>
    <phoneticPr fontId="1" type="noConversion"/>
  </si>
  <si>
    <t>联系人</t>
    <phoneticPr fontId="1" type="noConversion"/>
  </si>
  <si>
    <t>联系方式</t>
    <phoneticPr fontId="1" type="noConversion"/>
  </si>
  <si>
    <t>发票类型</t>
    <phoneticPr fontId="1" type="noConversion"/>
  </si>
  <si>
    <t>发票税率</t>
    <phoneticPr fontId="1" type="noConversion"/>
  </si>
  <si>
    <t>应开发票金额</t>
    <phoneticPr fontId="1" type="noConversion"/>
  </si>
  <si>
    <t>实开发票金额</t>
    <phoneticPr fontId="1" type="noConversion"/>
  </si>
  <si>
    <t>待开发票金额</t>
    <phoneticPr fontId="1" type="noConversion"/>
  </si>
  <si>
    <t>预算情况</t>
    <phoneticPr fontId="1" type="noConversion"/>
  </si>
  <si>
    <t>依据文件</t>
    <phoneticPr fontId="1" type="noConversion"/>
  </si>
  <si>
    <t>归档情况</t>
    <phoneticPr fontId="1" type="noConversion"/>
  </si>
  <si>
    <t>待付金额</t>
    <phoneticPr fontId="1" type="noConversion"/>
  </si>
  <si>
    <t>财务支付总金额</t>
    <phoneticPr fontId="1" type="noConversion"/>
  </si>
  <si>
    <t>张三</t>
    <phoneticPr fontId="1" type="noConversion"/>
  </si>
  <si>
    <t>研发部</t>
    <phoneticPr fontId="1" type="noConversion"/>
  </si>
  <si>
    <t>李四</t>
    <phoneticPr fontId="1" type="noConversion"/>
  </si>
  <si>
    <t>王五</t>
    <phoneticPr fontId="1" type="noConversion"/>
  </si>
  <si>
    <t>批产</t>
    <phoneticPr fontId="1" type="noConversion"/>
  </si>
  <si>
    <t>已签订</t>
  </si>
  <si>
    <t>人民币</t>
    <phoneticPr fontId="1" type="noConversion"/>
  </si>
  <si>
    <t>元</t>
    <phoneticPr fontId="1" type="noConversion"/>
  </si>
  <si>
    <t>增值税专票</t>
  </si>
  <si>
    <t>预算内</t>
    <phoneticPr fontId="1" type="noConversion"/>
  </si>
  <si>
    <t>1810PPTXXXX01000-001</t>
    <phoneticPr fontId="1" type="noConversion"/>
  </si>
  <si>
    <t>XX项目采购合同</t>
    <phoneticPr fontId="1" type="noConversion"/>
  </si>
  <si>
    <t>采购合同</t>
    <phoneticPr fontId="1" type="noConversion"/>
  </si>
  <si>
    <t>XXXX</t>
    <phoneticPr fontId="1" type="noConversion"/>
  </si>
  <si>
    <t>机电</t>
    <phoneticPr fontId="1" type="noConversion"/>
  </si>
  <si>
    <t>为XX项目采购发电机</t>
    <phoneticPr fontId="1" type="noConversion"/>
  </si>
  <si>
    <t>发电机2套</t>
    <phoneticPr fontId="1" type="noConversion"/>
  </si>
  <si>
    <t>七里路</t>
    <phoneticPr fontId="1" type="noConversion"/>
  </si>
  <si>
    <t>XXX科技有限公司</t>
    <phoneticPr fontId="1" type="noConversion"/>
  </si>
  <si>
    <t>XXX</t>
    <phoneticPr fontId="1" type="noConversion"/>
  </si>
  <si>
    <t>开户行</t>
    <phoneticPr fontId="1" type="noConversion"/>
  </si>
  <si>
    <t>开户账号</t>
    <phoneticPr fontId="1" type="noConversion"/>
  </si>
  <si>
    <t>XX银行XX支行</t>
    <phoneticPr fontId="1" type="noConversion"/>
  </si>
  <si>
    <t>0000 0000 0000 0000 0000</t>
    <phoneticPr fontId="1" type="noConversion"/>
  </si>
  <si>
    <t>吴XX</t>
    <phoneticPr fontId="1" type="noConversion"/>
  </si>
  <si>
    <t>XX技术协议</t>
    <phoneticPr fontId="1" type="noConversion"/>
  </si>
  <si>
    <t>未归档</t>
    <phoneticPr fontId="1" type="noConversion"/>
  </si>
  <si>
    <t>约定付款金额1</t>
    <phoneticPr fontId="1" type="noConversion"/>
  </si>
  <si>
    <t>约定付款日期1</t>
    <phoneticPr fontId="1" type="noConversion"/>
  </si>
  <si>
    <t>约定付款金额2</t>
    <phoneticPr fontId="1" type="noConversion"/>
  </si>
  <si>
    <t>约定付款日期2</t>
    <phoneticPr fontId="1" type="noConversion"/>
  </si>
  <si>
    <t>约定付款金额3</t>
    <phoneticPr fontId="1" type="noConversion"/>
  </si>
  <si>
    <t>约定付款日期3</t>
    <phoneticPr fontId="1" type="noConversion"/>
  </si>
  <si>
    <t>约定付款金额4</t>
    <phoneticPr fontId="1" type="noConversion"/>
  </si>
  <si>
    <t>约定付款日期4</t>
    <phoneticPr fontId="1" type="noConversion"/>
  </si>
  <si>
    <t>约定付款金额5</t>
    <phoneticPr fontId="1" type="noConversion"/>
  </si>
  <si>
    <t>约定付款日期5</t>
    <phoneticPr fontId="1" type="noConversion"/>
  </si>
  <si>
    <t>财务付款金额1</t>
    <phoneticPr fontId="1" type="noConversion"/>
  </si>
  <si>
    <t>财务付款日期1</t>
    <phoneticPr fontId="1" type="noConversion"/>
  </si>
  <si>
    <t>财务付款金额2</t>
    <phoneticPr fontId="1" type="noConversion"/>
  </si>
  <si>
    <t>财务付款日期2</t>
    <phoneticPr fontId="1" type="noConversion"/>
  </si>
  <si>
    <t>财务付款金额3</t>
    <phoneticPr fontId="1" type="noConversion"/>
  </si>
  <si>
    <t>财务付款日期3</t>
    <phoneticPr fontId="1" type="noConversion"/>
  </si>
  <si>
    <t>财务付款金额4</t>
    <phoneticPr fontId="1" type="noConversion"/>
  </si>
  <si>
    <t>财务付款日期4</t>
    <phoneticPr fontId="1" type="noConversion"/>
  </si>
  <si>
    <t>财务付款金额5</t>
    <phoneticPr fontId="1" type="noConversion"/>
  </si>
  <si>
    <t>财务付款日期5</t>
    <phoneticPr fontId="1" type="noConversion"/>
  </si>
  <si>
    <t>有效期12年</t>
    <phoneticPr fontId="1" type="noConversion"/>
  </si>
  <si>
    <t>备注1</t>
    <phoneticPr fontId="1" type="noConversion"/>
  </si>
  <si>
    <t>备注2</t>
    <phoneticPr fontId="1" type="noConversion"/>
  </si>
  <si>
    <t>备注3</t>
  </si>
  <si>
    <t>备注4</t>
  </si>
  <si>
    <t>备注5</t>
  </si>
  <si>
    <t>备注6</t>
  </si>
  <si>
    <t>备注7</t>
  </si>
  <si>
    <t>备注8</t>
  </si>
  <si>
    <t>备注9</t>
  </si>
  <si>
    <t>备注10</t>
  </si>
  <si>
    <t>计划部付款金额1</t>
    <phoneticPr fontId="1" type="noConversion"/>
  </si>
  <si>
    <t>计划部付款金额</t>
    <phoneticPr fontId="1" type="noConversion"/>
  </si>
  <si>
    <t>计划部付款日期1</t>
    <phoneticPr fontId="1" type="noConversion"/>
  </si>
  <si>
    <t>计划部付款金额2</t>
    <phoneticPr fontId="1" type="noConversion"/>
  </si>
  <si>
    <t>计划部付款日期2</t>
    <phoneticPr fontId="1" type="noConversion"/>
  </si>
  <si>
    <t>计划部付款金额3</t>
    <phoneticPr fontId="1" type="noConversion"/>
  </si>
  <si>
    <t>计划部付款日期3</t>
    <phoneticPr fontId="1" type="noConversion"/>
  </si>
  <si>
    <t>计划部付款金额4</t>
    <phoneticPr fontId="1" type="noConversion"/>
  </si>
  <si>
    <t>计划部付款日期4</t>
    <phoneticPr fontId="1" type="noConversion"/>
  </si>
  <si>
    <t>计划部付款金额5</t>
    <phoneticPr fontId="1" type="noConversion"/>
  </si>
  <si>
    <t>计划部付款日期5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</si>
</sst>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>
      <alignment vertical="center"/>
    </xf>
    <xf numFmtId="31" fontId="0" fillId="0" borderId="1" xfId="0" applyNumberFormat="1" applyBorder="1">
      <alignment vertical="center"/>
    </xf>
    <xf numFmtId="43" fontId="0" fillId="0" borderId="1" xfId="1" applyFont="1" applyBorder="1">
      <alignment vertical="center"/>
    </xf>
    <xf numFmtId="43" fontId="0" fillId="0" borderId="1" xfId="0" applyNumberFormat="1" applyBorder="1">
      <alignment vertical="center"/>
    </xf>
    <xf numFmtId="9" fontId="0" fillId="0" borderId="1" xfId="0" applyNumberFormat="1" applyBorder="1">
      <alignment vertical="center"/>
    </xf>
    <xf numFmtId="0" fontId="0" fillId="0" borderId="4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9">
    <cellStyle name="常规" xfId="0" builtinId="0"/>
    <cellStyle name="常规 12" xfId="5" xr:uid="{00000000-0005-0000-0000-000001000000}"/>
    <cellStyle name="常规 13" xfId="6" xr:uid="{00000000-0005-0000-0000-000002000000}"/>
    <cellStyle name="常规 14" xfId="7" xr:uid="{00000000-0005-0000-0000-000003000000}"/>
    <cellStyle name="常规 15" xfId="8" xr:uid="{00000000-0005-0000-0000-000004000000}"/>
    <cellStyle name="常规 2" xfId="2" xr:uid="{00000000-0005-0000-0000-000005000000}"/>
    <cellStyle name="常规 6" xfId="3" xr:uid="{00000000-0005-0000-0000-000006000000}"/>
    <cellStyle name="常规 8" xfId="4" xr:uid="{00000000-0005-0000-0000-000007000000}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2"/>
  <sheetViews>
    <sheetView tabSelected="1" zoomScale="85" zoomScaleNormal="85" workbookViewId="0">
      <pane xSplit="1" ySplit="2" topLeftCell="AA3" activePane="bottomRight" state="frozen"/>
      <selection pane="topRight" activeCell="B1" sqref="B1"/>
      <selection pane="bottomLeft" activeCell="A3" sqref="A3"/>
      <selection pane="bottomRight" activeCell="G15" sqref="G15"/>
    </sheetView>
  </sheetViews>
  <sheetFormatPr defaultRowHeight="13.5" x14ac:dyDescent="0.15"/>
  <cols>
    <col min="1" max="1" width="22.75" bestFit="1" customWidth="1"/>
    <col min="2" max="2" width="11" bestFit="1" customWidth="1"/>
    <col min="3" max="3" width="15.25" bestFit="1" customWidth="1"/>
    <col min="5" max="5" width="7.125" bestFit="1" customWidth="1"/>
    <col min="7" max="8" width="7.125" bestFit="1" customWidth="1"/>
    <col min="9" max="9" width="11.75" customWidth="1"/>
    <col min="10" max="10" width="11" bestFit="1" customWidth="1"/>
    <col min="11" max="11" width="19.375" bestFit="1" customWidth="1"/>
    <col min="12" max="12" width="13" bestFit="1" customWidth="1"/>
    <col min="13" max="13" width="13.75" customWidth="1"/>
    <col min="15" max="15" width="13" bestFit="1" customWidth="1"/>
    <col min="16" max="16" width="16.125" customWidth="1"/>
    <col min="17" max="18" width="14.625" bestFit="1" customWidth="1"/>
    <col min="19" max="19" width="16.125" customWidth="1"/>
    <col min="20" max="20" width="7.125" bestFit="1" customWidth="1"/>
    <col min="22" max="22" width="13.875" bestFit="1" customWidth="1"/>
    <col min="23" max="23" width="13.375" customWidth="1"/>
    <col min="24" max="25" width="14.5" customWidth="1"/>
    <col min="26" max="26" width="14.125" bestFit="1" customWidth="1"/>
    <col min="27" max="27" width="14.625" bestFit="1" customWidth="1"/>
    <col min="28" max="28" width="14.125" bestFit="1" customWidth="1"/>
    <col min="29" max="29" width="14.625" bestFit="1" customWidth="1"/>
    <col min="30" max="30" width="14.125" bestFit="1" customWidth="1"/>
    <col min="31" max="31" width="14.625" bestFit="1" customWidth="1"/>
    <col min="32" max="32" width="14.125" bestFit="1" customWidth="1"/>
    <col min="33" max="33" width="14.625" bestFit="1" customWidth="1"/>
    <col min="34" max="36" width="14.125" bestFit="1" customWidth="1"/>
    <col min="37" max="37" width="18.375" bestFit="1" customWidth="1"/>
    <col min="38" max="38" width="14.125" bestFit="1" customWidth="1"/>
    <col min="39" max="39" width="18.375" bestFit="1" customWidth="1"/>
    <col min="40" max="40" width="14.125" bestFit="1" customWidth="1"/>
    <col min="41" max="41" width="18.375" bestFit="1" customWidth="1"/>
    <col min="42" max="42" width="14.125" bestFit="1" customWidth="1"/>
    <col min="43" max="43" width="18.375" bestFit="1" customWidth="1"/>
    <col min="44" max="44" width="14.125" bestFit="1" customWidth="1"/>
    <col min="45" max="45" width="18.375" bestFit="1" customWidth="1"/>
    <col min="46" max="46" width="14.125" bestFit="1" customWidth="1"/>
    <col min="47" max="47" width="18.375" bestFit="1" customWidth="1"/>
    <col min="48" max="48" width="14.125" bestFit="1" customWidth="1"/>
    <col min="49" max="49" width="18.375" bestFit="1" customWidth="1"/>
    <col min="50" max="50" width="14.125" bestFit="1" customWidth="1"/>
    <col min="51" max="51" width="18.375" bestFit="1" customWidth="1"/>
    <col min="52" max="52" width="14.125" bestFit="1" customWidth="1"/>
    <col min="53" max="53" width="18.375" bestFit="1" customWidth="1"/>
    <col min="54" max="54" width="14.125" bestFit="1" customWidth="1"/>
    <col min="55" max="55" width="18.375" bestFit="1" customWidth="1"/>
    <col min="56" max="56" width="16.375" bestFit="1" customWidth="1"/>
    <col min="57" max="57" width="13" bestFit="1" customWidth="1"/>
    <col min="58" max="58" width="13" customWidth="1"/>
    <col min="59" max="59" width="27.25" bestFit="1" customWidth="1"/>
    <col min="60" max="60" width="7.125" bestFit="1" customWidth="1"/>
    <col min="61" max="61" width="12.75" bestFit="1" customWidth="1"/>
    <col min="62" max="62" width="11" bestFit="1" customWidth="1"/>
    <col min="64" max="64" width="13.875" bestFit="1" customWidth="1"/>
    <col min="65" max="65" width="13.25" bestFit="1" customWidth="1"/>
    <col min="66" max="66" width="13.875" bestFit="1" customWidth="1"/>
    <col min="68" max="68" width="11.125" bestFit="1" customWidth="1"/>
    <col min="70" max="70" width="5.25" bestFit="1" customWidth="1"/>
  </cols>
  <sheetData>
    <row r="1" spans="1:79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34</v>
      </c>
      <c r="X1" s="2" t="s">
        <v>95</v>
      </c>
      <c r="Y1" s="2" t="s">
        <v>35</v>
      </c>
      <c r="Z1" s="10" t="s">
        <v>63</v>
      </c>
      <c r="AA1" s="9" t="s">
        <v>64</v>
      </c>
      <c r="AB1" s="10" t="s">
        <v>65</v>
      </c>
      <c r="AC1" s="9" t="s">
        <v>66</v>
      </c>
      <c r="AD1" s="10" t="s">
        <v>67</v>
      </c>
      <c r="AE1" s="9" t="s">
        <v>68</v>
      </c>
      <c r="AF1" s="10" t="s">
        <v>69</v>
      </c>
      <c r="AG1" s="9" t="s">
        <v>70</v>
      </c>
      <c r="AH1" s="10" t="s">
        <v>71</v>
      </c>
      <c r="AI1" s="9" t="s">
        <v>72</v>
      </c>
      <c r="AJ1" s="11" t="s">
        <v>73</v>
      </c>
      <c r="AK1" s="11" t="s">
        <v>74</v>
      </c>
      <c r="AL1" s="11" t="s">
        <v>75</v>
      </c>
      <c r="AM1" s="11" t="s">
        <v>76</v>
      </c>
      <c r="AN1" s="11" t="s">
        <v>77</v>
      </c>
      <c r="AO1" s="11" t="s">
        <v>78</v>
      </c>
      <c r="AP1" s="11" t="s">
        <v>79</v>
      </c>
      <c r="AQ1" s="11" t="s">
        <v>80</v>
      </c>
      <c r="AR1" s="11" t="s">
        <v>81</v>
      </c>
      <c r="AS1" s="11" t="s">
        <v>82</v>
      </c>
      <c r="AT1" s="12" t="s">
        <v>94</v>
      </c>
      <c r="AU1" s="12" t="s">
        <v>96</v>
      </c>
      <c r="AV1" s="12" t="s">
        <v>97</v>
      </c>
      <c r="AW1" s="12" t="s">
        <v>98</v>
      </c>
      <c r="AX1" s="12" t="s">
        <v>99</v>
      </c>
      <c r="AY1" s="12" t="s">
        <v>100</v>
      </c>
      <c r="AZ1" s="12" t="s">
        <v>101</v>
      </c>
      <c r="BA1" s="12" t="s">
        <v>102</v>
      </c>
      <c r="BB1" s="12" t="s">
        <v>103</v>
      </c>
      <c r="BC1" s="12" t="s">
        <v>104</v>
      </c>
      <c r="BD1" s="2" t="s">
        <v>22</v>
      </c>
      <c r="BE1" s="2" t="s">
        <v>23</v>
      </c>
      <c r="BF1" s="2" t="s">
        <v>56</v>
      </c>
      <c r="BG1" s="2" t="s">
        <v>57</v>
      </c>
      <c r="BH1" s="2" t="s">
        <v>24</v>
      </c>
      <c r="BI1" s="2" t="s">
        <v>25</v>
      </c>
      <c r="BJ1" s="2" t="s">
        <v>26</v>
      </c>
      <c r="BK1" s="2" t="s">
        <v>27</v>
      </c>
      <c r="BL1" s="2" t="s">
        <v>28</v>
      </c>
      <c r="BM1" s="2" t="s">
        <v>29</v>
      </c>
      <c r="BN1" s="2" t="s">
        <v>30</v>
      </c>
      <c r="BO1" s="2" t="s">
        <v>31</v>
      </c>
      <c r="BP1" s="2" t="s">
        <v>32</v>
      </c>
      <c r="BQ1" s="2" t="s">
        <v>33</v>
      </c>
      <c r="BR1" s="2" t="s">
        <v>84</v>
      </c>
      <c r="BS1" s="8" t="s">
        <v>85</v>
      </c>
      <c r="BT1" s="2" t="s">
        <v>86</v>
      </c>
      <c r="BU1" s="8" t="s">
        <v>87</v>
      </c>
      <c r="BV1" s="2" t="s">
        <v>88</v>
      </c>
      <c r="BW1" s="8" t="s">
        <v>89</v>
      </c>
      <c r="BX1" s="2" t="s">
        <v>90</v>
      </c>
      <c r="BY1" s="8" t="s">
        <v>91</v>
      </c>
      <c r="BZ1" s="2" t="s">
        <v>92</v>
      </c>
      <c r="CA1" s="8" t="s">
        <v>93</v>
      </c>
    </row>
    <row r="2" spans="1:79" ht="37.5" customHeight="1" x14ac:dyDescent="0.15">
      <c r="A2" s="3" t="s">
        <v>46</v>
      </c>
      <c r="B2" s="3"/>
      <c r="C2" s="3" t="s">
        <v>47</v>
      </c>
      <c r="D2" s="3" t="s">
        <v>48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49</v>
      </c>
      <c r="J2" s="3" t="s">
        <v>50</v>
      </c>
      <c r="K2" s="3" t="s">
        <v>51</v>
      </c>
      <c r="L2" s="3" t="s">
        <v>52</v>
      </c>
      <c r="M2" s="3" t="s">
        <v>53</v>
      </c>
      <c r="N2" s="3" t="s">
        <v>40</v>
      </c>
      <c r="O2" s="1" t="s">
        <v>41</v>
      </c>
      <c r="P2" s="3"/>
      <c r="Q2" s="4">
        <v>43202</v>
      </c>
      <c r="R2" s="4">
        <v>43281</v>
      </c>
      <c r="S2" s="3" t="s">
        <v>83</v>
      </c>
      <c r="T2" s="3" t="s">
        <v>42</v>
      </c>
      <c r="U2" s="3" t="s">
        <v>43</v>
      </c>
      <c r="V2" s="5">
        <v>300000</v>
      </c>
      <c r="W2" s="6">
        <f>V2-Y2</f>
        <v>210000</v>
      </c>
      <c r="X2" s="3">
        <f>AT2+AV2+AX2+AZ2+BB2</f>
        <v>270000</v>
      </c>
      <c r="Y2" s="3">
        <f>AJ2+AL2+AN2+AR2++AP2</f>
        <v>90000</v>
      </c>
      <c r="Z2" s="6">
        <f>V2*0.3</f>
        <v>90000</v>
      </c>
      <c r="AA2" s="4">
        <v>43210</v>
      </c>
      <c r="AB2" s="5">
        <f>V2*0.6</f>
        <v>180000</v>
      </c>
      <c r="AC2" s="4">
        <v>43281</v>
      </c>
      <c r="AD2" s="5">
        <f>V2*0.1</f>
        <v>30000</v>
      </c>
      <c r="AE2" s="4">
        <v>43646</v>
      </c>
      <c r="AF2" s="6"/>
      <c r="AG2" s="4"/>
      <c r="AH2" s="6"/>
      <c r="AI2" s="4"/>
      <c r="AJ2" s="4">
        <v>90000</v>
      </c>
      <c r="AK2" s="4">
        <v>43220</v>
      </c>
      <c r="AL2" s="4"/>
      <c r="AM2" s="4"/>
      <c r="AN2" s="4"/>
      <c r="AO2" s="4"/>
      <c r="AP2" s="4"/>
      <c r="AQ2" s="4"/>
      <c r="AR2" s="4"/>
      <c r="AS2" s="4"/>
      <c r="AT2" s="6">
        <v>90000</v>
      </c>
      <c r="AU2" s="4">
        <v>43220</v>
      </c>
      <c r="AV2" s="6">
        <v>180000</v>
      </c>
      <c r="AW2" s="4">
        <v>43301</v>
      </c>
      <c r="AX2" s="3"/>
      <c r="AY2" s="3"/>
      <c r="AZ2" s="3"/>
      <c r="BA2" s="3"/>
      <c r="BB2" s="3"/>
      <c r="BC2" s="3"/>
      <c r="BD2" s="3" t="s">
        <v>54</v>
      </c>
      <c r="BE2" s="3" t="s">
        <v>55</v>
      </c>
      <c r="BF2" s="3" t="s">
        <v>58</v>
      </c>
      <c r="BG2" s="3" t="s">
        <v>59</v>
      </c>
      <c r="BH2" s="3" t="s">
        <v>60</v>
      </c>
      <c r="BI2" s="3">
        <v>13000000000</v>
      </c>
      <c r="BJ2" s="3" t="s">
        <v>44</v>
      </c>
      <c r="BK2" s="7">
        <v>0.17</v>
      </c>
      <c r="BL2" s="6">
        <f>V2</f>
        <v>300000</v>
      </c>
      <c r="BM2" s="6">
        <v>90000</v>
      </c>
      <c r="BN2" s="6">
        <f>BL2-BM2</f>
        <v>210000</v>
      </c>
      <c r="BO2" s="3" t="s">
        <v>45</v>
      </c>
      <c r="BP2" s="3" t="s">
        <v>61</v>
      </c>
      <c r="BQ2" s="3" t="s">
        <v>62</v>
      </c>
      <c r="BR2" s="3"/>
    </row>
  </sheetData>
  <phoneticPr fontId="1" type="noConversion"/>
  <dataValidations count="2">
    <dataValidation type="list" allowBlank="1" showInputMessage="1" showErrorMessage="1" sqref="O2" xr:uid="{00000000-0002-0000-0100-000000000000}">
      <formula1>"已签订,执行中,已到期,已撤销,执行完成"</formula1>
    </dataValidation>
    <dataValidation type="list" allowBlank="1" showInputMessage="1" showErrorMessage="1" sqref="BJ2" xr:uid="{00000000-0002-0000-0100-000001000000}">
      <formula1>"增值税专票,增值税普票,部队收据"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支出合同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2018-04-16T03:52:44Z</dcterms:modified>
</cp:coreProperties>
</file>